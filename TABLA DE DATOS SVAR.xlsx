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56BCDDC6-4033-46A8-B10B-0D9FFCB7FEB8}" xr6:coauthVersionLast="47" xr6:coauthVersionMax="47" xr10:uidLastSave="{00000000-0000-0000-0000-000000000000}"/>
  <bookViews>
    <workbookView xWindow="3384" yWindow="3360" windowWidth="17280" windowHeight="8880" xr2:uid="{27D4673C-C2AD-4DBC-8CC6-6093FC70C6F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2D2584-AA91-43A8-81AF-D3B9EBA6F03E}" keepAlive="1" name="Consulta - Datos históricos Oro" description="Conexión a la consulta 'Datos históricos Oro' en el libro." type="5" refreshedVersion="0" background="1">
    <dbPr connection="Provider=Microsoft.Mashup.OleDb.1;Data Source=$Workbook$;Location=&quot;Datos históricos Oro&quot;;Extended Properties=&quot;&quot;" command="SELECT * FROM [Datos históricos Oro]"/>
  </connection>
  <connection id="2" xr16:uid="{2D0729F1-A122-435C-B420-C0CDE295C7C3}" keepAlive="1" name="Consulta - Datos históricos Oro (2)" description="Conexión a la consulta 'Datos históricos Oro (2)' en el libro." type="5" refreshedVersion="0" background="1">
    <dbPr connection="Provider=Microsoft.Mashup.OleDb.1;Data Source=$Workbook$;Location=&quot;Datos históricos Oro (2)&quot;;Extended Properties=&quot;&quot;" command="SELECT * FROM [Datos históricos Oro (2)]"/>
  </connection>
  <connection id="3" xr16:uid="{EBA3AC3E-5626-4C5F-9BE2-C971660C3FD2}" keepAlive="1" name="Consulta - Datos históricos Oro (3)" description="Conexión a la consulta 'Datos históricos Oro (3)' en el libro." type="5" refreshedVersion="8" background="1" saveData="1">
    <dbPr connection="Provider=Microsoft.Mashup.OleDb.1;Data Source=$Workbook$;Location=&quot;Datos históricos Oro (3)&quot;;Extended Properties=&quot;&quot;" command="SELECT * FROM [Datos históricos Oro (3)]"/>
  </connection>
</connections>
</file>

<file path=xl/sharedStrings.xml><?xml version="1.0" encoding="utf-8"?>
<sst xmlns="http://schemas.openxmlformats.org/spreadsheetml/2006/main" count="5" uniqueCount="5">
  <si>
    <t>Fecha</t>
  </si>
  <si>
    <t>EXPORTACIONES</t>
  </si>
  <si>
    <t>IMAE</t>
  </si>
  <si>
    <t>PIO</t>
  </si>
  <si>
    <t>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</si>
</sst>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Verdana"/>
      <family val="2"/>
    </font>
    <font>
      <sz val="10"/>
      <name val="Futura Lt BT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5" fillId="0" borderId="0" xfId="0" applyFont="1"/>
    <xf numFmtId="0" fontId="0" fillId="0" borderId="1" xfId="0" applyBorder="1"/>
    <xf numFmtId="14" fontId="0" fillId="0" borderId="1" xfId="0" applyNumberFormat="1" applyBorder="1"/>
    <xf numFmtId="2" fontId="3" fillId="0" borderId="1" xfId="0" applyNumberFormat="1" applyFont="1" applyBorder="1"/>
    <xf numFmtId="165" fontId="4" fillId="0" borderId="1" xfId="1" applyNumberFormat="1" applyFont="1" applyFill="1" applyBorder="1" applyAlignment="1">
      <alignment horizontal="left" wrapText="1"/>
    </xf>
    <xf numFmtId="0" fontId="5" fillId="0" borderId="1" xfId="0" applyFont="1" applyBorder="1"/>
    <xf numFmtId="165" fontId="4" fillId="0" borderId="1" xfId="2" applyNumberFormat="1" applyFont="1" applyFill="1" applyBorder="1" applyAlignment="1">
      <alignment horizontal="left" vertical="center" wrapText="1"/>
    </xf>
    <xf numFmtId="165" fontId="4" fillId="0" borderId="1" xfId="2" applyNumberFormat="1" applyFont="1" applyFill="1" applyBorder="1" applyAlignment="1">
      <alignment horizontal="left" vertical="center" wrapText="1" indent="1"/>
    </xf>
    <xf numFmtId="2" fontId="0" fillId="0" borderId="1" xfId="0" applyNumberFormat="1" applyBorder="1"/>
    <xf numFmtId="2" fontId="3" fillId="0" borderId="1" xfId="0" applyNumberFormat="1" applyFont="1" applyBorder="1" applyAlignment="1">
      <alignment horizontal="right"/>
    </xf>
    <xf numFmtId="165" fontId="4" fillId="0" borderId="1" xfId="2" applyNumberFormat="1" applyFont="1" applyFill="1" applyBorder="1" applyAlignment="1">
      <alignment horizontal="left" wrapText="1"/>
    </xf>
  </cellXfs>
  <cellStyles count="3">
    <cellStyle name="Millares" xfId="1" builtinId="3"/>
    <cellStyle name="Millares 7" xfId="2" xr:uid="{24CB7A09-E243-4221-B66D-D9AB2979AED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3AF2F-F3D5-4A68-92DD-A2FC19D62D77}">
  <dimension ref="A1:E51"/>
  <sheetViews>
    <sheetView tabSelected="1" workbookViewId="0">
      <selection activeCell="J16" sqref="J16"/>
    </sheetView>
  </sheetViews>
  <sheetFormatPr baseColWidth="10" defaultRowHeight="14.4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44562</v>
      </c>
      <c r="B2" s="4">
        <v>10.076531641240798</v>
      </c>
      <c r="C2" s="5">
        <v>-0.58310501285255611</v>
      </c>
      <c r="D2" s="2">
        <v>-1.7609099857814625</v>
      </c>
      <c r="E2" s="6">
        <v>-0.38222133837128314</v>
      </c>
    </row>
    <row r="3" spans="1:5">
      <c r="A3" s="3">
        <f>EDATE(A2,1)</f>
        <v>44593</v>
      </c>
      <c r="B3" s="4">
        <v>-2.5080469421117946</v>
      </c>
      <c r="C3" s="7">
        <v>-1.3546340390085447</v>
      </c>
      <c r="D3" s="2">
        <v>5.8060565575595611</v>
      </c>
      <c r="E3" s="6">
        <v>0.6196499297304231</v>
      </c>
    </row>
    <row r="4" spans="1:5">
      <c r="A4" s="3">
        <f t="shared" ref="A4:A49" si="0">EDATE(A3,1)</f>
        <v>44621</v>
      </c>
      <c r="B4" s="4">
        <v>23.019368391662713</v>
      </c>
      <c r="C4" s="7">
        <v>2.4248981442905375</v>
      </c>
      <c r="D4" s="2">
        <v>2.6516546535486856</v>
      </c>
      <c r="E4" s="6">
        <v>0.5796258967684581</v>
      </c>
    </row>
    <row r="5" spans="1:5">
      <c r="A5" s="3">
        <f t="shared" si="0"/>
        <v>44652</v>
      </c>
      <c r="B5" s="4">
        <v>-8.3455068601497029</v>
      </c>
      <c r="C5" s="7">
        <v>0.71730486875441102</v>
      </c>
      <c r="D5" s="2">
        <v>-3.0649377274358032</v>
      </c>
      <c r="E5" s="6">
        <v>4.8623788966840498E-2</v>
      </c>
    </row>
    <row r="6" spans="1:5">
      <c r="A6" s="3">
        <f t="shared" si="0"/>
        <v>44682</v>
      </c>
      <c r="B6" s="4">
        <v>10.381541653943097</v>
      </c>
      <c r="C6" s="8">
        <v>-7.0001218252571107E-3</v>
      </c>
      <c r="D6" s="2">
        <v>-2.4374768677629097</v>
      </c>
      <c r="E6" s="6">
        <v>-0.10498817034700013</v>
      </c>
    </row>
    <row r="7" spans="1:5">
      <c r="A7" s="3">
        <f t="shared" si="0"/>
        <v>44713</v>
      </c>
      <c r="B7" s="4">
        <v>-7.8404411700568932</v>
      </c>
      <c r="C7" s="8">
        <v>1.4229693716161194</v>
      </c>
      <c r="D7" s="2">
        <v>-2.0539778885757691</v>
      </c>
      <c r="E7" s="6">
        <v>-0.31134817212471699</v>
      </c>
    </row>
    <row r="8" spans="1:5">
      <c r="A8" s="3">
        <f t="shared" si="0"/>
        <v>44743</v>
      </c>
      <c r="B8" s="4">
        <v>-8.9006508953210783</v>
      </c>
      <c r="C8" s="7">
        <v>-0.55554559853024443</v>
      </c>
      <c r="D8" s="2">
        <v>-2.9270182039506372</v>
      </c>
      <c r="E8" s="6">
        <v>0.20293413055098922</v>
      </c>
    </row>
    <row r="9" spans="1:5">
      <c r="A9" s="3">
        <f t="shared" si="0"/>
        <v>44774</v>
      </c>
      <c r="B9" s="4">
        <v>-4.381206369765196</v>
      </c>
      <c r="C9" s="7">
        <v>-0.197401989242735</v>
      </c>
      <c r="D9" s="2">
        <v>-2.1374829001367988</v>
      </c>
      <c r="E9" s="6">
        <v>-0.12516918091738002</v>
      </c>
    </row>
    <row r="10" spans="1:5">
      <c r="A10" s="3">
        <f t="shared" si="0"/>
        <v>44805</v>
      </c>
      <c r="B10" s="4">
        <v>-16.957179969123882</v>
      </c>
      <c r="C10" s="7">
        <v>-0.44256833044661903</v>
      </c>
      <c r="D10" s="2">
        <v>-3.1044324072456275</v>
      </c>
      <c r="E10" s="6">
        <v>0.19337997533044787</v>
      </c>
    </row>
    <row r="11" spans="1:5">
      <c r="A11" s="3">
        <f t="shared" si="0"/>
        <v>44835</v>
      </c>
      <c r="B11" s="4">
        <v>4.616657447704795</v>
      </c>
      <c r="C11" s="7">
        <v>0.37650836522126951</v>
      </c>
      <c r="D11" s="2">
        <v>-1.3765328203895084</v>
      </c>
      <c r="E11" s="6">
        <v>-3.8403898439950873E-2</v>
      </c>
    </row>
    <row r="12" spans="1:5">
      <c r="A12" s="3">
        <f t="shared" si="0"/>
        <v>44866</v>
      </c>
      <c r="B12" s="4">
        <v>-11.30519213132388</v>
      </c>
      <c r="C12" s="7">
        <v>0.57093579936160666</v>
      </c>
      <c r="D12" s="2">
        <v>6.8568294020844762</v>
      </c>
      <c r="E12" s="6">
        <v>-0.29401627015126663</v>
      </c>
    </row>
    <row r="13" spans="1:5">
      <c r="A13" s="3">
        <f t="shared" si="0"/>
        <v>44896</v>
      </c>
      <c r="B13" s="4">
        <v>15.350691651764025</v>
      </c>
      <c r="C13" s="7">
        <v>-0.44066047578893119</v>
      </c>
      <c r="D13" s="2">
        <v>4.1524070271503515</v>
      </c>
      <c r="E13" s="6">
        <v>-1.1775520230755825</v>
      </c>
    </row>
    <row r="14" spans="1:5">
      <c r="A14" s="3">
        <f>EDATE(A13,1)</f>
        <v>44927</v>
      </c>
      <c r="B14" s="9">
        <v>27.800122269686888</v>
      </c>
      <c r="C14" s="5">
        <v>0.8545150781022528</v>
      </c>
      <c r="D14" s="2">
        <v>6.0569550930996661</v>
      </c>
      <c r="E14" s="6">
        <v>0.74032940950058435</v>
      </c>
    </row>
    <row r="15" spans="1:5">
      <c r="A15" s="3">
        <f t="shared" si="0"/>
        <v>44958</v>
      </c>
      <c r="B15" s="9">
        <v>-4.5027832725534926</v>
      </c>
      <c r="C15" s="7">
        <v>-1.6942784217596341</v>
      </c>
      <c r="D15" s="2">
        <v>-5.158525250438907</v>
      </c>
      <c r="E15" s="6">
        <v>0.13591363613750698</v>
      </c>
    </row>
    <row r="16" spans="1:5">
      <c r="A16" s="3">
        <f t="shared" si="0"/>
        <v>44986</v>
      </c>
      <c r="B16" s="9">
        <v>22.941086099140485</v>
      </c>
      <c r="C16" s="7">
        <v>2.0879304877365712</v>
      </c>
      <c r="D16" s="2">
        <v>8.2648227799858418</v>
      </c>
      <c r="E16" s="6">
        <v>0.37648447560452297</v>
      </c>
    </row>
    <row r="17" spans="1:5">
      <c r="A17" s="3">
        <f t="shared" si="0"/>
        <v>45017</v>
      </c>
      <c r="B17" s="9">
        <v>-16.499352326542333</v>
      </c>
      <c r="C17" s="7">
        <v>0.40614814860499848</v>
      </c>
      <c r="D17" s="2">
        <v>0.52803620819713348</v>
      </c>
      <c r="E17" s="6">
        <v>0.23015130592305691</v>
      </c>
    </row>
    <row r="18" spans="1:5">
      <c r="A18" s="3">
        <f t="shared" si="0"/>
        <v>45047</v>
      </c>
      <c r="B18" s="9">
        <v>9.9389849749654999</v>
      </c>
      <c r="C18" s="8">
        <v>1.8634679555964482</v>
      </c>
      <c r="D18" s="2">
        <v>-1.2956478239119604</v>
      </c>
      <c r="E18" s="6">
        <v>-0.32038556882264935</v>
      </c>
    </row>
    <row r="19" spans="1:5">
      <c r="A19" s="3">
        <f t="shared" si="0"/>
        <v>45078</v>
      </c>
      <c r="B19" s="9">
        <v>-12.611910008307333</v>
      </c>
      <c r="C19" s="8">
        <v>-3.4732762655536931E-2</v>
      </c>
      <c r="D19" s="2">
        <v>-2.7976280979169745</v>
      </c>
      <c r="E19" s="6">
        <v>-0.80155674407452138</v>
      </c>
    </row>
    <row r="20" spans="1:5">
      <c r="A20" s="3">
        <f t="shared" si="0"/>
        <v>45108</v>
      </c>
      <c r="B20" s="9">
        <v>-3.502069384335031</v>
      </c>
      <c r="C20" s="8">
        <v>1.928228176290574</v>
      </c>
      <c r="D20" s="2">
        <v>3.2170603263986552</v>
      </c>
      <c r="E20" s="6">
        <v>0.78615975293548446</v>
      </c>
    </row>
    <row r="21" spans="1:5">
      <c r="A21" s="3">
        <f t="shared" si="0"/>
        <v>45139</v>
      </c>
      <c r="B21" s="9">
        <v>-0.61102152144266231</v>
      </c>
      <c r="C21" s="7">
        <v>0.41402005155804034</v>
      </c>
      <c r="D21" s="2">
        <v>-1.6467973327944994</v>
      </c>
      <c r="E21" s="6">
        <v>-6.6794375398270225E-2</v>
      </c>
    </row>
    <row r="22" spans="1:5">
      <c r="A22" s="3">
        <f t="shared" si="0"/>
        <v>45170</v>
      </c>
      <c r="B22" s="9">
        <v>-14.269492405015407</v>
      </c>
      <c r="C22" s="7">
        <v>-0.12410303889761565</v>
      </c>
      <c r="D22" s="2">
        <v>-3.9804827940421159</v>
      </c>
      <c r="E22" s="6">
        <v>0.18028685244741857</v>
      </c>
    </row>
    <row r="23" spans="1:5">
      <c r="A23" s="3">
        <f t="shared" si="0"/>
        <v>45200</v>
      </c>
      <c r="B23" s="9">
        <v>6.4530055366805543</v>
      </c>
      <c r="C23" s="7">
        <v>4.846361054384829E-2</v>
      </c>
      <c r="D23" s="2">
        <v>6.6755817063385905</v>
      </c>
      <c r="E23" s="6">
        <v>-0.54661847871385194</v>
      </c>
    </row>
    <row r="24" spans="1:5">
      <c r="A24" s="3">
        <f t="shared" si="0"/>
        <v>45231</v>
      </c>
      <c r="B24" s="9">
        <v>1.8508813821966448</v>
      </c>
      <c r="C24" s="7">
        <v>-0.55532671127200217</v>
      </c>
      <c r="D24" s="2">
        <v>2.6726169583312416</v>
      </c>
      <c r="E24" s="6">
        <v>0.39315648922203389</v>
      </c>
    </row>
    <row r="25" spans="1:5">
      <c r="A25" s="3">
        <f t="shared" si="0"/>
        <v>45261</v>
      </c>
      <c r="B25" s="9">
        <v>-7.4261036009412322</v>
      </c>
      <c r="C25" s="7">
        <v>0.49622758203145167</v>
      </c>
      <c r="D25" s="2">
        <v>1.7532721234616182</v>
      </c>
      <c r="E25" s="6">
        <v>-0.25856624619908936</v>
      </c>
    </row>
    <row r="26" spans="1:5">
      <c r="A26" s="3">
        <f t="shared" si="0"/>
        <v>45292</v>
      </c>
      <c r="B26" s="10">
        <v>12.841212201807489</v>
      </c>
      <c r="C26" s="11">
        <v>0.91907365833083077</v>
      </c>
      <c r="D26" s="2">
        <v>-1.2526997840172742</v>
      </c>
      <c r="E26" s="6">
        <v>-1.3725223179007344</v>
      </c>
    </row>
    <row r="27" spans="1:5">
      <c r="A27" s="3">
        <f t="shared" si="0"/>
        <v>45323</v>
      </c>
      <c r="B27" s="10">
        <v>18.453687098064407</v>
      </c>
      <c r="C27" s="7">
        <v>0.69724454200044761</v>
      </c>
      <c r="D27" s="2">
        <v>-0.13123359580053817</v>
      </c>
      <c r="E27" s="6">
        <v>1.0710293956096486</v>
      </c>
    </row>
    <row r="28" spans="1:5">
      <c r="A28" s="3">
        <f t="shared" si="0"/>
        <v>45352</v>
      </c>
      <c r="B28" s="10">
        <v>2.9373765153953859</v>
      </c>
      <c r="C28" s="7">
        <v>-0.81243856243654022</v>
      </c>
      <c r="D28" s="2">
        <v>7.1397284275076789</v>
      </c>
      <c r="E28" s="6">
        <v>0.17200977214937371</v>
      </c>
    </row>
    <row r="29" spans="1:5">
      <c r="A29" s="3">
        <f t="shared" si="0"/>
        <v>45383</v>
      </c>
      <c r="B29" s="10">
        <v>5.6786242550350181</v>
      </c>
      <c r="C29" s="7">
        <v>0.12333776231380966</v>
      </c>
      <c r="D29" s="2">
        <v>4.6107022803670388</v>
      </c>
      <c r="E29" s="6">
        <v>-0.21312495333847842</v>
      </c>
    </row>
    <row r="30" spans="1:5">
      <c r="A30" s="3">
        <f>EDATE(A29,1)</f>
        <v>45413</v>
      </c>
      <c r="B30" s="10">
        <v>-12.729902592992595</v>
      </c>
      <c r="C30" s="8">
        <v>0.63622351037766123</v>
      </c>
      <c r="D30" s="2">
        <v>2.2493377914802952</v>
      </c>
      <c r="E30" s="6">
        <v>0.61809555541811789</v>
      </c>
    </row>
    <row r="31" spans="1:5">
      <c r="A31" s="3">
        <f t="shared" si="0"/>
        <v>45444</v>
      </c>
      <c r="B31" s="10">
        <v>4.5653047012650125</v>
      </c>
      <c r="C31" s="8">
        <v>-1.779673421978984</v>
      </c>
      <c r="D31" s="2">
        <v>-0.76867541512718862</v>
      </c>
      <c r="E31" s="6">
        <v>3.073475902958063E-2</v>
      </c>
    </row>
    <row r="32" spans="1:5">
      <c r="A32" s="3">
        <f t="shared" si="0"/>
        <v>45474</v>
      </c>
      <c r="B32" s="10">
        <v>-7.3331777307397177</v>
      </c>
      <c r="C32" s="8">
        <v>0.61812907224583569</v>
      </c>
      <c r="D32" s="2">
        <v>4.3610374047761749</v>
      </c>
      <c r="E32" s="6">
        <v>-0.91016314151485911</v>
      </c>
    </row>
    <row r="33" spans="1:5">
      <c r="A33" s="3">
        <f t="shared" si="0"/>
        <v>45505</v>
      </c>
      <c r="B33" s="10">
        <v>-3.0764963783881836</v>
      </c>
      <c r="C33" s="8">
        <v>-0.16972246593073237</v>
      </c>
      <c r="D33" s="2">
        <v>4.0270658191511099</v>
      </c>
      <c r="E33" s="6">
        <v>0.45531064048562869</v>
      </c>
    </row>
    <row r="34" spans="1:5">
      <c r="A34" s="3">
        <f t="shared" si="0"/>
        <v>45536</v>
      </c>
      <c r="B34" s="10">
        <v>-8.1043394809922802</v>
      </c>
      <c r="C34" s="8">
        <v>0.70956578039364615</v>
      </c>
      <c r="D34" s="2">
        <v>4.3836480466748249</v>
      </c>
      <c r="E34" s="6">
        <v>-0.61982915616606848</v>
      </c>
    </row>
    <row r="35" spans="1:5">
      <c r="A35" s="3">
        <f t="shared" si="0"/>
        <v>45566</v>
      </c>
      <c r="B35" s="10">
        <v>12.083402991067075</v>
      </c>
      <c r="C35" s="8">
        <v>0.99927358631465779</v>
      </c>
      <c r="D35" s="2">
        <v>3.829449752634166</v>
      </c>
      <c r="E35" s="6">
        <v>-0.33955057890919954</v>
      </c>
    </row>
    <row r="36" spans="1:5">
      <c r="A36" s="3">
        <f t="shared" si="0"/>
        <v>45597</v>
      </c>
      <c r="B36" s="10">
        <v>-16.185318918219544</v>
      </c>
      <c r="C36" s="8">
        <v>0.63173348620043157</v>
      </c>
      <c r="D36" s="2">
        <v>-3.5281708071145381</v>
      </c>
      <c r="E36" s="6">
        <v>-0.17794399288223275</v>
      </c>
    </row>
    <row r="37" spans="1:5">
      <c r="A37" s="3">
        <f t="shared" si="0"/>
        <v>45627</v>
      </c>
      <c r="B37" s="10">
        <v>21.934105085829259</v>
      </c>
      <c r="C37" s="7">
        <v>2.9629130523371998</v>
      </c>
      <c r="D37" s="2">
        <v>-1.2894468951476179</v>
      </c>
      <c r="E37" s="6">
        <v>1.0421733766397159</v>
      </c>
    </row>
    <row r="38" spans="1:5">
      <c r="A38" s="3">
        <f t="shared" si="0"/>
        <v>45658</v>
      </c>
      <c r="B38" s="10">
        <v>7.3117134688017851</v>
      </c>
      <c r="C38" s="5">
        <v>-1.745811951810893</v>
      </c>
      <c r="D38" s="2">
        <v>8.6742294030021743</v>
      </c>
      <c r="E38" s="6">
        <v>-0.26174331413283519</v>
      </c>
    </row>
    <row r="39" spans="1:5">
      <c r="A39" s="3">
        <f t="shared" si="0"/>
        <v>45689</v>
      </c>
      <c r="B39" s="10">
        <v>1.5147420943219025</v>
      </c>
      <c r="C39" s="7">
        <v>-0.80628377542252849</v>
      </c>
      <c r="D39" s="2">
        <v>1.7819485449177659</v>
      </c>
      <c r="E39" s="6">
        <v>1.0339310466128391</v>
      </c>
    </row>
    <row r="40" spans="1:5">
      <c r="A40" s="3">
        <f t="shared" si="0"/>
        <v>45717</v>
      </c>
      <c r="B40" s="10">
        <v>21.293381130684118</v>
      </c>
      <c r="C40" s="7">
        <v>1.9794157651141973</v>
      </c>
      <c r="D40" s="2">
        <v>8.784833730446497</v>
      </c>
      <c r="E40" s="6">
        <v>-5.8259552736758993E-2</v>
      </c>
    </row>
    <row r="41" spans="1:5">
      <c r="A41" s="3">
        <f>EDATE(A40,1)</f>
        <v>45748</v>
      </c>
      <c r="B41" s="10">
        <v>8.5665237499752536</v>
      </c>
      <c r="C41" s="7">
        <v>0.53080874047604709</v>
      </c>
      <c r="D41" s="2">
        <v>5.3582198520775712</v>
      </c>
      <c r="E41" s="6">
        <v>8.6599023756825447E-2</v>
      </c>
    </row>
    <row r="42" spans="1:5">
      <c r="A42" s="3">
        <f t="shared" si="0"/>
        <v>45778</v>
      </c>
      <c r="B42" s="10">
        <v>-3.9569743217364479</v>
      </c>
      <c r="C42" s="8">
        <v>0.14709179307166664</v>
      </c>
      <c r="D42" s="2">
        <v>0.74719050344973581</v>
      </c>
      <c r="E42" s="6">
        <v>-0.16058871982903927</v>
      </c>
    </row>
    <row r="43" spans="1:5">
      <c r="A43" s="3">
        <f t="shared" si="0"/>
        <v>45809</v>
      </c>
      <c r="B43" s="10">
        <v>-0.89614610019060714</v>
      </c>
      <c r="C43" s="8">
        <v>1.1412761102402129</v>
      </c>
      <c r="D43" s="2">
        <v>-1.0825682586201821</v>
      </c>
      <c r="E43" s="6">
        <v>0.50809434905981843</v>
      </c>
    </row>
    <row r="44" spans="1:5">
      <c r="A44" s="3">
        <f t="shared" si="0"/>
        <v>45839</v>
      </c>
      <c r="B44" s="10">
        <v>10.42228363504174</v>
      </c>
      <c r="C44" s="8">
        <v>-0.56834780158348508</v>
      </c>
      <c r="D44" s="2">
        <v>1.2365087523052301</v>
      </c>
      <c r="E44" s="6">
        <v>0.40944633592338148</v>
      </c>
    </row>
    <row r="45" spans="1:5">
      <c r="A45" s="3">
        <f t="shared" si="0"/>
        <v>45870</v>
      </c>
      <c r="B45" s="10">
        <v>-19.386556665234565</v>
      </c>
      <c r="C45" s="8">
        <v>1.0406381085944219</v>
      </c>
      <c r="D45" s="2">
        <v>4.8796511975153827</v>
      </c>
      <c r="E45" s="6">
        <v>-0.26429426659077199</v>
      </c>
    </row>
    <row r="46" spans="1:5">
      <c r="A46" s="3">
        <f>EDATE(A45,1)</f>
        <v>45901</v>
      </c>
      <c r="B46" s="10">
        <v>-0.29516240132673799</v>
      </c>
      <c r="C46" s="8">
        <v>0.35816863478788719</v>
      </c>
      <c r="D46" s="2">
        <v>10.284738041002273</v>
      </c>
      <c r="E46" s="6">
        <v>7.9901834888561049E-2</v>
      </c>
    </row>
    <row r="47" spans="1:5">
      <c r="A47" s="3">
        <f t="shared" si="0"/>
        <v>45931</v>
      </c>
      <c r="B47" s="10">
        <v>0.71841451240591958</v>
      </c>
      <c r="C47" s="8">
        <v>-0.51978054513648431</v>
      </c>
      <c r="D47" s="2">
        <v>3.6171641020345029</v>
      </c>
      <c r="E47" s="6">
        <v>-0.44137065794609237</v>
      </c>
    </row>
    <row r="48" spans="1:5">
      <c r="A48" s="3">
        <f t="shared" si="0"/>
        <v>45962</v>
      </c>
      <c r="B48" s="10">
        <v>-7.7807331942243323</v>
      </c>
      <c r="C48" s="8">
        <v>0.71682251843152756</v>
      </c>
      <c r="D48" s="2">
        <v>5.5864251364213944</v>
      </c>
      <c r="E48" s="6">
        <v>0.11900411823379392</v>
      </c>
    </row>
    <row r="49" spans="1:5">
      <c r="A49" s="3">
        <f t="shared" si="0"/>
        <v>45992</v>
      </c>
      <c r="B49" s="10">
        <v>3.7720067700148947</v>
      </c>
      <c r="C49" s="8">
        <v>0.81668700366716962</v>
      </c>
      <c r="D49" s="2">
        <v>2.444837758112103</v>
      </c>
      <c r="E49" s="6">
        <v>0.24867450864343535</v>
      </c>
    </row>
    <row r="51" spans="1:5">
      <c r="E51" s="1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967E05-08F8-451D-8374-CD435EF6B9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Castillo Martinez</dc:creator>
  <cp:lastModifiedBy>Luis Carlos Castillo Martinez</cp:lastModifiedBy>
  <dcterms:created xsi:type="dcterms:W3CDTF">2026-03-06T07:14:00Z</dcterms:created>
  <dcterms:modified xsi:type="dcterms:W3CDTF">2026-03-13T18:09:35Z</dcterms:modified>
</cp:coreProperties>
</file>